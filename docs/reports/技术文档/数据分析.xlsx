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802D190377824426A4C0942E57ED85F1" descr="image"/>
        <xdr:cNvPicPr/>
      </xdr:nvPicPr>
      <xdr:blipFill>
        <a:blip r:embed="rId1"/>
        <a:stretch>
          <a:fillRect/>
        </a:stretch>
      </xdr:blipFill>
      <xdr:spPr>
        <a:xfrm>
          <a:off x="0" y="0"/>
          <a:ext cx="10058400" cy="5473700"/>
        </a:xfrm>
        <a:prstGeom prst="rect">
          <a:avLst/>
        </a:prstGeom>
      </xdr:spPr>
    </xdr:pic>
  </etc:cellImage>
  <etc:cellImage>
    <xdr:pic>
      <xdr:nvPicPr>
        <xdr:cNvPr id="4" name="ID_6E587F2118A44A0E9963DEC1F2CBEBF8" descr="1"/>
        <xdr:cNvPicPr/>
      </xdr:nvPicPr>
      <xdr:blipFill>
        <a:blip r:embed="rId2"/>
        <a:stretch>
          <a:fillRect/>
        </a:stretch>
      </xdr:blipFill>
      <xdr:spPr>
        <a:xfrm>
          <a:off x="0" y="0"/>
          <a:ext cx="5143500" cy="489140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<sst xmlns="http://schemas.openxmlformats.org/spreadsheetml/2006/main" count="31" uniqueCount="28">
  <si>
    <t>日期</t>
  </si>
  <si>
    <t>单位</t>
  </si>
  <si>
    <t>最新漏洞模拟攻击剧本数</t>
  </si>
  <si>
    <t>最新漏洞防护设备拦截数</t>
  </si>
  <si>
    <t>最新漏洞拦截率</t>
  </si>
  <si>
    <t>热门漏洞模拟攻击剧本数</t>
  </si>
  <si>
    <t>热门漏洞防护设备拦截数</t>
  </si>
  <si>
    <t>热门漏洞拦截率</t>
  </si>
  <si>
    <t>基于存量漏模拟攻击剧本数</t>
  </si>
  <si>
    <t>基于存量漏洞防护设备拦截数</t>
  </si>
  <si>
    <t>基于量漏洞拦截率</t>
  </si>
  <si>
    <t>备注</t>
  </si>
  <si>
    <t>拓扑图</t>
  </si>
  <si>
    <t>A医院-第一次-外网至DMZ</t>
  </si>
  <si>
    <t>A医院-第二次-外网至DMZ</t>
  </si>
  <si>
    <t>A医院-第一次-DMZ至内网</t>
  </si>
  <si>
    <t>A医院-第三次-外网至DMZ</t>
  </si>
  <si>
    <t>基于漏扫报告</t>
  </si>
  <si>
    <t>A医院-第三次-DMZ至内网</t>
  </si>
  <si>
    <t>B研究院</t>
  </si>
  <si>
    <t>基于漏扫联动</t>
  </si>
  <si>
    <t>合肥B医院-第一次检查</t>
  </si>
  <si>
    <t>合肥B医院-第二次检查</t>
  </si>
  <si>
    <t>合肥B医院-第三次检查</t>
  </si>
  <si>
    <t>合肥C院</t>
  </si>
  <si>
    <t>A有限公司</t>
  </si>
  <si>
    <t>A银行</t>
  </si>
  <si>
    <t>被检查单位提供的漏洞清单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</si>
</sst>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58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0" fontId="0" fillId="2" borderId="1" xfId="3" applyNumberForma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58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5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0" fontId="0" fillId="3" borderId="1" xfId="0" applyNumberForma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58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10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58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10" fontId="0" fillId="5" borderId="1" xfId="0" applyNumberFormat="1" applyFill="1" applyBorder="1" applyAlignment="1">
      <alignment horizontal="center" vertical="center"/>
    </xf>
    <xf numFmtId="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58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10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58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10" fontId="2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0" fontId="0" fillId="6" borderId="1" xfId="3" applyNumberFormat="1" applyFill="1" applyBorder="1">
      <alignment vertical="center"/>
    </xf>
    <xf numFmtId="0" fontId="0" fillId="6" borderId="1" xfId="0" applyFill="1" applyBorder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workbookViewId="0">
      <selection activeCell="C9" sqref="C9"/>
    </sheetView>
  </sheetViews>
  <sheetFormatPr defaultColWidth="9.22727272727273" defaultRowHeight="14"/>
  <cols>
    <col min="1" max="1" width="9.22727272727273" style="8"/>
    <col min="2" max="2" width="12.3363636363636" customWidth="1"/>
    <col min="3" max="3" width="35.8181818181818" customWidth="1"/>
    <col min="4" max="4" width="13.7818181818182" style="8" customWidth="1"/>
    <col min="5" max="5" width="16.6636363636364" style="8" customWidth="1"/>
    <col min="6" max="6" width="11.5272727272727" style="8" customWidth="1"/>
    <col min="7" max="8" width="16.3454545454545" style="8" customWidth="1"/>
    <col min="9" max="9" width="11.0454545454545" style="8" customWidth="1"/>
    <col min="10" max="10" width="15.5454545454545" style="8" customWidth="1"/>
    <col min="11" max="11" width="16.8272727272727" style="8" customWidth="1"/>
    <col min="12" max="12" width="10.7363636363636" style="8" customWidth="1"/>
    <col min="13" max="13" width="30.2818181818182" customWidth="1"/>
    <col min="14" max="14" width="32.4545454545455" customWidth="1"/>
  </cols>
  <sheetData>
    <row r="1" s="1" customFormat="1" ht="28" spans="1:14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</row>
    <row r="2" s="2" customFormat="1" spans="1:14">
      <c r="A2" s="10">
        <v>1</v>
      </c>
      <c r="B2" s="11">
        <v>45988</v>
      </c>
      <c r="C2" s="12" t="s">
        <v>13</v>
      </c>
      <c r="D2" s="10">
        <v>80</v>
      </c>
      <c r="E2" s="10">
        <v>59</v>
      </c>
      <c r="F2" s="13">
        <f>E2/D2</f>
        <v>0.7375</v>
      </c>
      <c r="G2" s="10">
        <v>30</v>
      </c>
      <c r="H2" s="10">
        <v>23</v>
      </c>
      <c r="I2" s="13">
        <f>H2/G2</f>
        <v>0.766666666666667</v>
      </c>
      <c r="J2" s="10"/>
      <c r="K2" s="10"/>
      <c r="L2" s="10"/>
      <c r="M2" s="10"/>
      <c r="N2" s="10" t="str">
        <f>_xlfn.DISPIMG("ID_802D190377824426A4C0942E57ED85F1",1)</f>
        <v>=DISPIMG("ID_802D190377824426A4C0942E57ED85F1",1)</v>
      </c>
    </row>
    <row r="3" s="2" customFormat="1" spans="1:14">
      <c r="A3" s="10"/>
      <c r="B3" s="11">
        <v>45992</v>
      </c>
      <c r="C3" s="12" t="s">
        <v>14</v>
      </c>
      <c r="D3" s="10">
        <v>80</v>
      </c>
      <c r="E3" s="10">
        <v>60</v>
      </c>
      <c r="F3" s="13">
        <f>E3/D3</f>
        <v>0.75</v>
      </c>
      <c r="G3" s="10">
        <v>30</v>
      </c>
      <c r="H3" s="10">
        <v>25</v>
      </c>
      <c r="I3" s="13">
        <f>H3/G3</f>
        <v>0.833333333333333</v>
      </c>
      <c r="J3" s="10"/>
      <c r="K3" s="10"/>
      <c r="L3" s="10"/>
      <c r="M3" s="10"/>
      <c r="N3" s="10"/>
    </row>
    <row r="4" s="2" customFormat="1" spans="1:14">
      <c r="A4" s="10"/>
      <c r="B4" s="11">
        <v>45988</v>
      </c>
      <c r="C4" s="12" t="s">
        <v>15</v>
      </c>
      <c r="D4" s="10">
        <v>80</v>
      </c>
      <c r="E4" s="10">
        <v>17</v>
      </c>
      <c r="F4" s="13">
        <f>E4/D4</f>
        <v>0.2125</v>
      </c>
      <c r="G4" s="10">
        <v>30</v>
      </c>
      <c r="H4" s="10">
        <v>1</v>
      </c>
      <c r="I4" s="13">
        <f>H4/G4</f>
        <v>0.0333333333333333</v>
      </c>
      <c r="J4" s="10"/>
      <c r="K4" s="10"/>
      <c r="L4" s="10"/>
      <c r="M4" s="10"/>
      <c r="N4" s="10"/>
    </row>
    <row r="5" s="3" customFormat="1" spans="1:14">
      <c r="A5" s="10"/>
      <c r="B5" s="11">
        <v>45992</v>
      </c>
      <c r="C5" s="12" t="s">
        <v>15</v>
      </c>
      <c r="D5" s="10">
        <v>80</v>
      </c>
      <c r="E5" s="10">
        <v>73</v>
      </c>
      <c r="F5" s="13">
        <f>E5/D5</f>
        <v>0.9125</v>
      </c>
      <c r="G5" s="10">
        <v>30</v>
      </c>
      <c r="H5" s="10">
        <v>26</v>
      </c>
      <c r="I5" s="13">
        <f>H5/G5</f>
        <v>0.866666666666667</v>
      </c>
      <c r="J5" s="10"/>
      <c r="K5" s="10"/>
      <c r="L5" s="10"/>
      <c r="M5" s="14"/>
      <c r="N5" s="10"/>
    </row>
    <row r="6" s="3" customFormat="1" spans="1:14">
      <c r="A6" s="10"/>
      <c r="B6" s="15">
        <v>46360</v>
      </c>
      <c r="C6" s="12" t="s">
        <v>16</v>
      </c>
      <c r="D6" s="16"/>
      <c r="E6" s="16"/>
      <c r="F6" s="17"/>
      <c r="G6" s="16"/>
      <c r="H6" s="16"/>
      <c r="I6" s="17"/>
      <c r="J6" s="16">
        <v>75</v>
      </c>
      <c r="K6" s="16">
        <v>62</v>
      </c>
      <c r="L6" s="13">
        <f>K6/J6</f>
        <v>0.826666666666667</v>
      </c>
      <c r="M6" s="14" t="s">
        <v>17</v>
      </c>
      <c r="N6" s="10"/>
    </row>
    <row r="7" s="3" customFormat="1" spans="1:14">
      <c r="A7" s="10"/>
      <c r="B7" s="15">
        <v>46360</v>
      </c>
      <c r="C7" s="12" t="s">
        <v>18</v>
      </c>
      <c r="D7" s="16"/>
      <c r="E7" s="16"/>
      <c r="F7" s="17"/>
      <c r="G7" s="16"/>
      <c r="H7" s="16"/>
      <c r="I7" s="17"/>
      <c r="J7" s="16">
        <v>75</v>
      </c>
      <c r="K7" s="16">
        <v>47</v>
      </c>
      <c r="L7" s="13">
        <f>K7/J7</f>
        <v>0.626666666666667</v>
      </c>
      <c r="M7" s="14" t="s">
        <v>17</v>
      </c>
      <c r="N7" s="10"/>
    </row>
    <row r="8" s="4" customFormat="1" spans="1:14">
      <c r="A8" s="18">
        <v>2</v>
      </c>
      <c r="B8" s="19">
        <v>46101</v>
      </c>
      <c r="C8" s="20" t="s">
        <v>19</v>
      </c>
      <c r="D8" s="18">
        <v>30</v>
      </c>
      <c r="E8" s="18">
        <v>28</v>
      </c>
      <c r="F8" s="21">
        <v>0.9333</v>
      </c>
      <c r="G8" s="18">
        <v>30</v>
      </c>
      <c r="H8" s="18">
        <v>25</v>
      </c>
      <c r="I8" s="21">
        <v>0.8333</v>
      </c>
      <c r="J8" s="18">
        <v>4</v>
      </c>
      <c r="K8" s="18">
        <v>2</v>
      </c>
      <c r="L8" s="22">
        <v>0.5</v>
      </c>
      <c r="M8" s="23" t="s">
        <v>20</v>
      </c>
      <c r="N8" s="23"/>
    </row>
    <row r="9" s="5" customFormat="1" ht="16" customHeight="1" spans="1:14">
      <c r="A9" s="24">
        <v>3</v>
      </c>
      <c r="B9" s="25">
        <v>46106</v>
      </c>
      <c r="C9" s="26" t="s">
        <v>21</v>
      </c>
      <c r="D9" s="24">
        <v>45</v>
      </c>
      <c r="E9" s="24">
        <v>0</v>
      </c>
      <c r="F9" s="27">
        <v>0</v>
      </c>
      <c r="G9" s="24">
        <v>82</v>
      </c>
      <c r="H9" s="24">
        <v>0</v>
      </c>
      <c r="I9" s="27">
        <v>0</v>
      </c>
      <c r="J9" s="24"/>
      <c r="K9" s="24"/>
      <c r="L9" s="24"/>
      <c r="M9" s="28"/>
      <c r="N9" s="24" t="str">
        <f>_xlfn.DISPIMG("ID_6E587F2118A44A0E9963DEC1F2CBEBF8",1)</f>
        <v>=DISPIMG("ID_6E587F2118A44A0E9963DEC1F2CBEBF8",1)</v>
      </c>
    </row>
    <row r="10" s="5" customFormat="1" ht="16" customHeight="1" spans="1:14">
      <c r="A10" s="24"/>
      <c r="B10" s="25">
        <v>46106</v>
      </c>
      <c r="C10" s="26" t="s">
        <v>22</v>
      </c>
      <c r="D10" s="24">
        <v>45</v>
      </c>
      <c r="E10" s="24">
        <v>2</v>
      </c>
      <c r="F10" s="29">
        <v>0.0444</v>
      </c>
      <c r="G10" s="24">
        <v>82</v>
      </c>
      <c r="H10" s="24">
        <v>32</v>
      </c>
      <c r="I10" s="29">
        <v>0.3902</v>
      </c>
      <c r="J10" s="24"/>
      <c r="K10" s="24"/>
      <c r="L10" s="24"/>
      <c r="M10" s="28"/>
      <c r="N10" s="24"/>
    </row>
    <row r="11" s="5" customFormat="1" ht="19" customHeight="1" spans="1:14">
      <c r="A11" s="24"/>
      <c r="B11" s="25">
        <v>46106</v>
      </c>
      <c r="C11" s="26" t="s">
        <v>23</v>
      </c>
      <c r="D11" s="24">
        <v>45</v>
      </c>
      <c r="E11" s="24">
        <v>2</v>
      </c>
      <c r="F11" s="29">
        <v>0.0444</v>
      </c>
      <c r="G11" s="24">
        <v>82</v>
      </c>
      <c r="H11" s="24">
        <v>32</v>
      </c>
      <c r="I11" s="29">
        <v>0.3902</v>
      </c>
      <c r="J11" s="24"/>
      <c r="K11" s="24"/>
      <c r="L11" s="24"/>
      <c r="M11" s="28"/>
      <c r="N11" s="24"/>
    </row>
    <row r="12" s="6" customFormat="1" spans="1:14">
      <c r="A12" s="30">
        <v>5</v>
      </c>
      <c r="B12" s="31">
        <v>46141</v>
      </c>
      <c r="C12" s="32" t="s">
        <v>24</v>
      </c>
      <c r="D12" s="30">
        <v>38</v>
      </c>
      <c r="E12" s="30">
        <v>23</v>
      </c>
      <c r="F12" s="33">
        <v>0.6053</v>
      </c>
      <c r="G12" s="30">
        <v>123</v>
      </c>
      <c r="H12" s="30">
        <v>99</v>
      </c>
      <c r="I12" s="33">
        <f>H12/G12</f>
        <v>0.804878048780488</v>
      </c>
      <c r="J12" s="30">
        <v>3</v>
      </c>
      <c r="K12" s="30">
        <v>0</v>
      </c>
      <c r="L12" s="34">
        <v>0</v>
      </c>
      <c r="M12" s="35" t="s">
        <v>20</v>
      </c>
      <c r="N12" s="35"/>
    </row>
    <row r="13" s="6" customFormat="1" ht="15" spans="1:14">
      <c r="A13" s="36">
        <v>8</v>
      </c>
      <c r="B13" s="37">
        <v>46150</v>
      </c>
      <c r="C13" s="38" t="s">
        <v>25</v>
      </c>
      <c r="D13" s="36">
        <v>38</v>
      </c>
      <c r="E13" s="36">
        <v>25</v>
      </c>
      <c r="F13" s="39">
        <v>0.6575</v>
      </c>
      <c r="G13" s="36">
        <v>126</v>
      </c>
      <c r="H13" s="36">
        <v>92</v>
      </c>
      <c r="I13" s="39">
        <v>0.7302</v>
      </c>
      <c r="J13" s="35"/>
      <c r="K13" s="35"/>
      <c r="L13" s="35"/>
      <c r="M13" s="35"/>
      <c r="N13" s="35"/>
    </row>
    <row r="14" s="7" customFormat="1" ht="15" spans="1:14">
      <c r="A14" s="40">
        <v>9</v>
      </c>
      <c r="B14" s="41">
        <v>46178</v>
      </c>
      <c r="C14" s="42" t="s">
        <v>26</v>
      </c>
      <c r="D14" s="40">
        <v>34</v>
      </c>
      <c r="E14" s="40">
        <v>28</v>
      </c>
      <c r="F14" s="43">
        <f>E14/D14</f>
        <v>0.823529411764706</v>
      </c>
      <c r="G14" s="40">
        <v>124</v>
      </c>
      <c r="H14" s="40">
        <v>124</v>
      </c>
      <c r="I14" s="43">
        <f>H14/G14</f>
        <v>1</v>
      </c>
      <c r="J14" s="44">
        <v>24</v>
      </c>
      <c r="K14" s="44">
        <v>20</v>
      </c>
      <c r="L14" s="45">
        <f>K14/J14</f>
        <v>0.833333333333333</v>
      </c>
      <c r="M14" s="46" t="s">
        <v>27</v>
      </c>
      <c r="N14" s="46"/>
    </row>
    <row r="16" spans="1:14">
      <c r="D16" s="47"/>
    </row>
  </sheetData>
  <mergeCells count="4">
    <mergeCell ref="A2:A7"/>
    <mergeCell ref="A9:A11"/>
    <mergeCell ref="N2:N7"/>
    <mergeCell ref="N9:N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chendawei</dc:creator>
  <cp:lastModifiedBy>ꪶꪮꪰꪤꫀ⁵²°</cp:lastModifiedBy>
  <dcterms:created xsi:type="dcterms:W3CDTF">2026-05-07T18:46:00Z</dcterms:created>
  <dcterms:modified xsi:type="dcterms:W3CDTF">2026-06-18T09:14:34Z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F154579338794C63819A99945DA155D6_13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